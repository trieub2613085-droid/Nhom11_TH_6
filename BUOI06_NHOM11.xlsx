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LAB 6\"/>
    </mc:Choice>
  </mc:AlternateContent>
  <xr:revisionPtr revIDLastSave="0" documentId="13_ncr:1_{9B3DFB34-0896-4872-A440-DF1A4051731B}" xr6:coauthVersionLast="47" xr6:coauthVersionMax="47" xr10:uidLastSave="{00000000-0000-0000-0000-000000000000}"/>
  <bookViews>
    <workbookView xWindow="-120" yWindow="-120" windowWidth="20730" windowHeight="11760" activeTab="3" xr2:uid="{45A45A9C-89D3-4C90-A699-5C811093011E}"/>
  </bookViews>
  <sheets>
    <sheet name="SinhVien" sheetId="1" r:id="rId1"/>
    <sheet name="KetQua" sheetId="2" r:id="rId2"/>
    <sheet name="MonHoc" sheetId="3" r:id="rId3"/>
    <sheet name="Bài 2" sheetId="4" r:id="rId4"/>
  </sheets>
  <definedNames>
    <definedName name="_xlnm._FilterDatabase" localSheetId="1" hidden="1">KetQua!$B$1:$B$16</definedName>
    <definedName name="_xlnm._FilterDatabase" localSheetId="0" hidden="1">SinhVien!$A$1:$D$15</definedName>
    <definedName name="_xlnm.Criteria" localSheetId="3">'Bài 2'!$A$4:$A$5</definedName>
    <definedName name="_xlnm.Extract" localSheetId="3">'Bài 2'!$B$4:$E$5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4" l="1" a="1"/>
  <c r="A11" i="4" s="1"/>
  <c r="A1" i="4" a="1"/>
  <c r="A1" i="4" s="1"/>
  <c r="A9" i="4" a="1"/>
  <c r="A9" i="4" s="1"/>
  <c r="A4" i="4" a="1"/>
  <c r="A4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<sst xmlns="http://schemas.openxmlformats.org/spreadsheetml/2006/main" count="110" uniqueCount="66">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</sst>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A370-4F00-49A7-B1A9-9AD1F3D38FA8}">
  <dimension ref="A1:D15"/>
  <sheetViews>
    <sheetView workbookViewId="0">
      <selection activeCell="D7" sqref="D7"/>
    </sheetView>
  </sheetViews>
  <sheetFormatPr defaultColWidth="8.85546875" defaultRowHeight="15" x14ac:dyDescent="0.25"/>
  <cols>
    <col min="1" max="1" width="11.140625" style="6" customWidth="1"/>
    <col min="2" max="2" width="18.140625" style="6" customWidth="1"/>
    <col min="3" max="3" width="8.85546875" style="6"/>
    <col min="4" max="4" width="11.7109375" style="6" customWidth="1"/>
    <col min="5" max="16384" width="8.85546875" style="6"/>
  </cols>
  <sheetData>
    <row r="1" spans="1:4" x14ac:dyDescent="0.25">
      <c r="A1" s="2" t="s">
        <v>0</v>
      </c>
      <c r="B1" s="13" t="s">
        <v>1</v>
      </c>
      <c r="C1" s="14"/>
      <c r="D1" s="2" t="s">
        <v>2</v>
      </c>
    </row>
    <row r="2" spans="1:4" ht="26.45" customHeight="1" x14ac:dyDescent="0.25">
      <c r="A2" s="7">
        <v>1111434</v>
      </c>
      <c r="B2" s="8" t="s">
        <v>3</v>
      </c>
      <c r="C2" s="9" t="s">
        <v>4</v>
      </c>
      <c r="D2" s="7" t="s">
        <v>5</v>
      </c>
    </row>
    <row r="3" spans="1:4" x14ac:dyDescent="0.25">
      <c r="A3" s="7">
        <v>1111450</v>
      </c>
      <c r="B3" s="8" t="s">
        <v>6</v>
      </c>
      <c r="C3" s="9" t="s">
        <v>7</v>
      </c>
      <c r="D3" s="7" t="s">
        <v>8</v>
      </c>
    </row>
    <row r="4" spans="1:4" x14ac:dyDescent="0.25">
      <c r="A4" s="7" t="s">
        <v>9</v>
      </c>
      <c r="B4" s="8" t="s">
        <v>10</v>
      </c>
      <c r="C4" s="9" t="s">
        <v>11</v>
      </c>
      <c r="D4" s="7" t="s">
        <v>12</v>
      </c>
    </row>
    <row r="5" spans="1:4" x14ac:dyDescent="0.25">
      <c r="A5" s="7" t="s">
        <v>13</v>
      </c>
      <c r="B5" s="8" t="s">
        <v>14</v>
      </c>
      <c r="C5" s="9" t="s">
        <v>15</v>
      </c>
      <c r="D5" s="7" t="s">
        <v>12</v>
      </c>
    </row>
    <row r="6" spans="1:4" x14ac:dyDescent="0.25">
      <c r="A6" s="7" t="s">
        <v>16</v>
      </c>
      <c r="B6" s="8" t="s">
        <v>17</v>
      </c>
      <c r="C6" s="9" t="s">
        <v>18</v>
      </c>
      <c r="D6" s="7" t="s">
        <v>12</v>
      </c>
    </row>
    <row r="7" spans="1:4" x14ac:dyDescent="0.25">
      <c r="A7" s="7" t="s">
        <v>19</v>
      </c>
      <c r="B7" s="8" t="s">
        <v>20</v>
      </c>
      <c r="C7" s="9" t="s">
        <v>21</v>
      </c>
      <c r="D7" s="7" t="s">
        <v>22</v>
      </c>
    </row>
    <row r="8" spans="1:4" x14ac:dyDescent="0.25">
      <c r="A8" s="7" t="s">
        <v>23</v>
      </c>
      <c r="B8" s="8" t="s">
        <v>20</v>
      </c>
      <c r="C8" s="9" t="s">
        <v>24</v>
      </c>
      <c r="D8" s="7" t="s">
        <v>25</v>
      </c>
    </row>
    <row r="9" spans="1:4" x14ac:dyDescent="0.25">
      <c r="A9" s="7" t="s">
        <v>26</v>
      </c>
      <c r="B9" s="8" t="s">
        <v>27</v>
      </c>
      <c r="C9" s="9" t="s">
        <v>28</v>
      </c>
      <c r="D9" s="7" t="s">
        <v>29</v>
      </c>
    </row>
    <row r="10" spans="1:4" x14ac:dyDescent="0.25">
      <c r="A10" s="7" t="s">
        <v>30</v>
      </c>
      <c r="B10" s="8" t="s">
        <v>31</v>
      </c>
      <c r="C10" s="9" t="s">
        <v>32</v>
      </c>
      <c r="D10" s="7" t="s">
        <v>33</v>
      </c>
    </row>
    <row r="11" spans="1:4" x14ac:dyDescent="0.25">
      <c r="A11" s="7" t="s">
        <v>34</v>
      </c>
      <c r="B11" s="8" t="s">
        <v>35</v>
      </c>
      <c r="C11" s="9" t="s">
        <v>36</v>
      </c>
      <c r="D11" s="7" t="s">
        <v>33</v>
      </c>
    </row>
    <row r="12" spans="1:4" x14ac:dyDescent="0.25">
      <c r="A12" s="7" t="s">
        <v>37</v>
      </c>
      <c r="B12" s="8" t="s">
        <v>38</v>
      </c>
      <c r="C12" s="9" t="s">
        <v>39</v>
      </c>
      <c r="D12" s="7" t="s">
        <v>40</v>
      </c>
    </row>
    <row r="13" spans="1:4" x14ac:dyDescent="0.25">
      <c r="A13" s="7" t="s">
        <v>41</v>
      </c>
      <c r="B13" s="8" t="s">
        <v>42</v>
      </c>
      <c r="C13" s="9" t="s">
        <v>43</v>
      </c>
      <c r="D13" s="7" t="s">
        <v>44</v>
      </c>
    </row>
    <row r="14" spans="1:4" x14ac:dyDescent="0.25">
      <c r="A14" s="7" t="s">
        <v>45</v>
      </c>
      <c r="B14" s="8" t="s">
        <v>46</v>
      </c>
      <c r="C14" s="9" t="s">
        <v>47</v>
      </c>
      <c r="D14" s="7" t="s">
        <v>48</v>
      </c>
    </row>
    <row r="15" spans="1:4" x14ac:dyDescent="0.25">
      <c r="A15" s="7" t="s">
        <v>49</v>
      </c>
      <c r="B15" s="8" t="s">
        <v>50</v>
      </c>
      <c r="C15" s="9" t="s">
        <v>51</v>
      </c>
      <c r="D15" s="7" t="s">
        <v>48</v>
      </c>
    </row>
  </sheetData>
  <autoFilter ref="A1:D15" xr:uid="{EF90A370-4F00-49A7-B1A9-9AD1F3D38FA8}">
    <filterColumn colId="1" showButton="0"/>
  </autoFilter>
  <mergeCells count="1">
    <mergeCell ref="B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766A-C098-4D78-90F8-33EF22022CCD}">
  <dimension ref="A1:C16"/>
  <sheetViews>
    <sheetView workbookViewId="0">
      <selection sqref="A1:C1"/>
    </sheetView>
  </sheetViews>
  <sheetFormatPr defaultColWidth="8.85546875" defaultRowHeight="15" x14ac:dyDescent="0.25"/>
  <cols>
    <col min="1" max="1" width="10.85546875" style="4" customWidth="1"/>
    <col min="2" max="2" width="8.85546875" style="4" customWidth="1"/>
    <col min="3" max="16384" width="8.85546875" style="4"/>
  </cols>
  <sheetData>
    <row r="1" spans="1:3" x14ac:dyDescent="0.25">
      <c r="A1" s="3" t="s">
        <v>0</v>
      </c>
      <c r="B1" s="3" t="s">
        <v>52</v>
      </c>
      <c r="C1" s="3" t="s">
        <v>53</v>
      </c>
    </row>
    <row r="2" spans="1:3" x14ac:dyDescent="0.25">
      <c r="A2" s="5">
        <v>1111434</v>
      </c>
      <c r="B2" s="3" t="s">
        <v>54</v>
      </c>
      <c r="C2" s="3" t="s">
        <v>55</v>
      </c>
    </row>
    <row r="3" spans="1:3" x14ac:dyDescent="0.25">
      <c r="A3" s="5">
        <v>1111450</v>
      </c>
      <c r="B3" s="3" t="s">
        <v>56</v>
      </c>
      <c r="C3" s="3" t="s">
        <v>55</v>
      </c>
    </row>
    <row r="4" spans="1:3" x14ac:dyDescent="0.25">
      <c r="A4" s="5" t="s">
        <v>9</v>
      </c>
      <c r="B4" s="3" t="s">
        <v>57</v>
      </c>
      <c r="C4" s="3" t="s">
        <v>58</v>
      </c>
    </row>
    <row r="5" spans="1:3" x14ac:dyDescent="0.25">
      <c r="A5" s="5" t="s">
        <v>13</v>
      </c>
      <c r="B5" s="3" t="s">
        <v>54</v>
      </c>
      <c r="C5" s="3" t="s">
        <v>59</v>
      </c>
    </row>
    <row r="6" spans="1:3" x14ac:dyDescent="0.25">
      <c r="A6" s="5" t="s">
        <v>16</v>
      </c>
      <c r="B6" s="3" t="s">
        <v>56</v>
      </c>
      <c r="C6" s="3" t="s">
        <v>60</v>
      </c>
    </row>
    <row r="7" spans="1:3" x14ac:dyDescent="0.25">
      <c r="A7" s="5" t="s">
        <v>19</v>
      </c>
      <c r="B7" s="3" t="s">
        <v>57</v>
      </c>
      <c r="C7" s="3" t="s">
        <v>55</v>
      </c>
    </row>
    <row r="8" spans="1:3" x14ac:dyDescent="0.25">
      <c r="A8" s="5" t="s">
        <v>23</v>
      </c>
      <c r="B8" s="3" t="s">
        <v>54</v>
      </c>
      <c r="C8" s="3" t="s">
        <v>55</v>
      </c>
    </row>
    <row r="9" spans="1:3" x14ac:dyDescent="0.25">
      <c r="A9" s="5" t="s">
        <v>26</v>
      </c>
      <c r="B9" s="3" t="s">
        <v>56</v>
      </c>
      <c r="C9" s="3" t="s">
        <v>58</v>
      </c>
    </row>
    <row r="10" spans="1:3" x14ac:dyDescent="0.25">
      <c r="A10" s="5" t="s">
        <v>30</v>
      </c>
      <c r="B10" s="3" t="s">
        <v>57</v>
      </c>
      <c r="C10" s="3" t="s">
        <v>59</v>
      </c>
    </row>
    <row r="11" spans="1:3" x14ac:dyDescent="0.25">
      <c r="A11" s="5" t="s">
        <v>34</v>
      </c>
      <c r="B11" s="3" t="s">
        <v>54</v>
      </c>
      <c r="C11" s="3" t="s">
        <v>60</v>
      </c>
    </row>
    <row r="12" spans="1:3" x14ac:dyDescent="0.25">
      <c r="A12" s="5" t="s">
        <v>37</v>
      </c>
      <c r="B12" s="3" t="s">
        <v>56</v>
      </c>
      <c r="C12" s="3" t="s">
        <v>55</v>
      </c>
    </row>
    <row r="13" spans="1:3" x14ac:dyDescent="0.25">
      <c r="A13" s="5" t="s">
        <v>41</v>
      </c>
      <c r="B13" s="3" t="s">
        <v>57</v>
      </c>
      <c r="C13" s="3" t="s">
        <v>55</v>
      </c>
    </row>
    <row r="14" spans="1:3" x14ac:dyDescent="0.25">
      <c r="A14" s="5" t="s">
        <v>45</v>
      </c>
      <c r="B14" s="3" t="s">
        <v>54</v>
      </c>
      <c r="C14" s="3" t="s">
        <v>58</v>
      </c>
    </row>
    <row r="15" spans="1:3" x14ac:dyDescent="0.25">
      <c r="A15" s="5" t="s">
        <v>49</v>
      </c>
      <c r="B15" s="3" t="s">
        <v>56</v>
      </c>
      <c r="C15" s="3" t="s">
        <v>59</v>
      </c>
    </row>
    <row r="16" spans="1:3" x14ac:dyDescent="0.25">
      <c r="A16" s="1"/>
      <c r="B16" s="1"/>
      <c r="C16" s="3" t="s">
        <v>60</v>
      </c>
    </row>
  </sheetData>
  <autoFilter ref="B1:B16" xr:uid="{A9FE766A-C098-4D78-90F8-33EF22022CC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3E97-45DE-45B0-97FA-FE53C94C5E01}">
  <dimension ref="A1:C16"/>
  <sheetViews>
    <sheetView workbookViewId="0">
      <selection activeCell="F17" sqref="F17"/>
    </sheetView>
  </sheetViews>
  <sheetFormatPr defaultColWidth="8.85546875" defaultRowHeight="15" x14ac:dyDescent="0.25"/>
  <cols>
    <col min="1" max="1" width="8.85546875" style="11"/>
    <col min="2" max="2" width="20.85546875" style="11" customWidth="1"/>
    <col min="3" max="16384" width="8.85546875" style="11"/>
  </cols>
  <sheetData>
    <row r="1" spans="1:3" x14ac:dyDescent="0.25">
      <c r="A1" s="10" t="s">
        <v>52</v>
      </c>
      <c r="B1" s="10" t="s">
        <v>61</v>
      </c>
      <c r="C1" s="10" t="s">
        <v>62</v>
      </c>
    </row>
    <row r="2" spans="1:3" x14ac:dyDescent="0.25">
      <c r="A2" s="10" t="s">
        <v>54</v>
      </c>
      <c r="B2" s="10" t="s">
        <v>63</v>
      </c>
      <c r="C2" s="10">
        <v>3</v>
      </c>
    </row>
    <row r="3" spans="1:3" x14ac:dyDescent="0.25">
      <c r="A3" s="10" t="s">
        <v>56</v>
      </c>
      <c r="B3" s="10" t="s">
        <v>64</v>
      </c>
      <c r="C3" s="10">
        <v>3</v>
      </c>
    </row>
    <row r="4" spans="1:3" x14ac:dyDescent="0.25">
      <c r="A4" s="10" t="s">
        <v>57</v>
      </c>
      <c r="B4" s="10" t="s">
        <v>65</v>
      </c>
      <c r="C4" s="10">
        <v>3</v>
      </c>
    </row>
    <row r="5" spans="1:3" x14ac:dyDescent="0.25">
      <c r="A5" s="12"/>
      <c r="B5" s="12"/>
      <c r="C5" s="12"/>
    </row>
    <row r="6" spans="1:3" x14ac:dyDescent="0.25">
      <c r="A6" s="12"/>
      <c r="B6" s="12"/>
      <c r="C6" s="12"/>
    </row>
    <row r="7" spans="1:3" x14ac:dyDescent="0.25">
      <c r="A7" s="12"/>
      <c r="B7" s="12"/>
      <c r="C7" s="12"/>
    </row>
    <row r="8" spans="1:3" x14ac:dyDescent="0.25">
      <c r="A8" s="12"/>
      <c r="B8" s="12"/>
      <c r="C8" s="12"/>
    </row>
    <row r="9" spans="1:3" x14ac:dyDescent="0.25">
      <c r="A9" s="12"/>
      <c r="B9" s="12"/>
      <c r="C9" s="12"/>
    </row>
    <row r="10" spans="1:3" x14ac:dyDescent="0.25">
      <c r="A10" s="12"/>
      <c r="B10" s="12"/>
      <c r="C10" s="12"/>
    </row>
    <row r="11" spans="1:3" x14ac:dyDescent="0.25">
      <c r="A11" s="12"/>
      <c r="B11" s="12"/>
      <c r="C11" s="12"/>
    </row>
    <row r="12" spans="1:3" x14ac:dyDescent="0.25">
      <c r="A12" s="12"/>
      <c r="B12" s="12"/>
      <c r="C12" s="12"/>
    </row>
    <row r="13" spans="1:3" x14ac:dyDescent="0.25">
      <c r="A13" s="12"/>
      <c r="B13" s="12"/>
      <c r="C13" s="12"/>
    </row>
    <row r="14" spans="1:3" x14ac:dyDescent="0.25">
      <c r="A14" s="12"/>
      <c r="B14" s="12"/>
      <c r="C14" s="12"/>
    </row>
    <row r="15" spans="1:3" x14ac:dyDescent="0.25">
      <c r="A15" s="12"/>
      <c r="B15" s="12"/>
      <c r="C15" s="12"/>
    </row>
    <row r="16" spans="1:3" x14ac:dyDescent="0.25">
      <c r="A16" s="12"/>
      <c r="B16" s="12"/>
      <c r="C16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7168-709D-425B-B940-4FC60BEBACF2}">
  <dimension ref="A1:D11"/>
  <sheetViews>
    <sheetView tabSelected="1" workbookViewId="0">
      <selection activeCell="F11" sqref="F11"/>
    </sheetView>
  </sheetViews>
  <sheetFormatPr defaultRowHeight="15" x14ac:dyDescent="0.25"/>
  <cols>
    <col min="2" max="2" width="15.28515625" customWidth="1"/>
    <col min="4" max="4" width="11.5703125" customWidth="1"/>
  </cols>
  <sheetData>
    <row r="1" spans="1:4" x14ac:dyDescent="0.25">
      <c r="A1" s="15" t="str" cm="1">
        <f t="array" ref="A1:D1">_xlfn._xlws.FILTER(SinhVien!A2:D15, (SinhVien!D2:D15 = "DI1296A1") + (SinhVien!D2:D15 = "DI1296A2"), "Không tìm thấy")</f>
        <v>B1204052</v>
      </c>
      <c r="B1" s="15" t="str">
        <v>Nguyễn Thanh</v>
      </c>
      <c r="C1" s="15" t="str">
        <v>Phong</v>
      </c>
      <c r="D1" s="15" t="str">
        <v>DI1296A2</v>
      </c>
    </row>
    <row r="4" spans="1:4" x14ac:dyDescent="0.25">
      <c r="A4" s="15" t="str" cm="1">
        <f t="array" ref="A4:D7">_xlfn._xlws.FILTER(SinhVien!A2:D15, COUNTIF(KetQua!A2:A15, SinhVien!A2:A15) * (SinhVien!A2:A15 &lt;&gt; "") * ISNUMBER(MATCH(SinhVien!A2:A15, _xlfn._xlws.FILTER(KetQua!A2:A15, KetQua!B2:B15="CT178"), 0)))</f>
        <v>A1200014</v>
      </c>
      <c r="B4" s="15" t="str">
        <v>Võ Đông</v>
      </c>
      <c r="C4" s="15" t="str">
        <v>Triều</v>
      </c>
      <c r="D4" s="15" t="str">
        <v>CP1296C1</v>
      </c>
    </row>
    <row r="5" spans="1:4" x14ac:dyDescent="0.25">
      <c r="A5" s="15" t="str">
        <v>B1204052</v>
      </c>
      <c r="B5" s="15" t="str">
        <v>Nguyễn Thanh</v>
      </c>
      <c r="C5" s="15" t="str">
        <v>Phong</v>
      </c>
      <c r="D5" s="15" t="str">
        <v>DI1296A2</v>
      </c>
    </row>
    <row r="6" spans="1:4" x14ac:dyDescent="0.25">
      <c r="A6" s="15" t="str">
        <v>B1209103</v>
      </c>
      <c r="B6" s="15" t="str">
        <v>Nguyễn Hoài</v>
      </c>
      <c r="C6" s="15" t="str">
        <v>Nam</v>
      </c>
      <c r="D6" s="15" t="str">
        <v>TC12Z5A1</v>
      </c>
    </row>
    <row r="7" spans="1:4" x14ac:dyDescent="0.25">
      <c r="A7" s="15" t="str">
        <v>B1302016</v>
      </c>
      <c r="B7" s="15" t="str">
        <v>Nguyễn Phước</v>
      </c>
      <c r="C7" s="15" t="str">
        <v>Toàn</v>
      </c>
      <c r="D7" s="15" t="str">
        <v>XH13W9A1</v>
      </c>
    </row>
    <row r="9" spans="1:4" x14ac:dyDescent="0.25">
      <c r="A9" s="15" t="str" cm="1">
        <f t="array" ref="A9:D9">_xlfn._xlws.FILTER(SinhVien!A2:D15, (SinhVien!D2:D15="CP1296C1") * ISNUMBER(MATCH(SinhVien!A2:A15, _xlfn._xlws.FILTER(KetQua!A2:A15, KetQua!B2:B15="CT178"), 0)))</f>
        <v>A1200014</v>
      </c>
      <c r="B9" s="15" t="str">
        <v>Võ Đông</v>
      </c>
      <c r="C9" s="15" t="str">
        <v>Triều</v>
      </c>
      <c r="D9" s="15" t="str">
        <v>CP1296C1</v>
      </c>
    </row>
    <row r="11" spans="1:4" x14ac:dyDescent="0.25">
      <c r="A11" s="15" t="str" cm="1">
        <f t="array" ref="A11:D11">_xlfn._xlws.FILTER(SinhVien!A2:D15, (SinhVien!D2:D15="CP1296C1") * ISNUMBER(MATCH(SinhVien!A2:A15, _xlfn._xlws.FILTER(KetQua!A2:A15, (KetQua!B2:B15="CT178") * (KetQua!C2:C15="C")), 0)))</f>
        <v>A1200014</v>
      </c>
      <c r="B11" s="15" t="str">
        <v>Võ Đông</v>
      </c>
      <c r="C11" s="15" t="str">
        <v>Triều</v>
      </c>
      <c r="D11" s="15" t="str">
        <v>CP1296C1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SinhVien</vt:lpstr>
      <vt:lpstr>KetQua</vt:lpstr>
      <vt:lpstr>MonHoc</vt:lpstr>
      <vt:lpstr>Bài 2</vt:lpstr>
      <vt:lpstr>'Bài 2'!Criteria</vt:lpstr>
      <vt:lpstr>'Bài 2'!Extract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Thanh Trieu - B2613085</dc:creator>
  <cp:lastModifiedBy>Tuan Trinh</cp:lastModifiedBy>
  <dcterms:created xsi:type="dcterms:W3CDTF">2026-09-29T14:59:28Z</dcterms:created>
  <dcterms:modified xsi:type="dcterms:W3CDTF">2026-09-30T14:47:14Z</dcterms:modified>
</cp:coreProperties>
</file>